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ork\2026년_프로젝트\P02.서비스\[2026.01.01]KICPA운영및개발\01.계약문서\2026_0320_[한공회]2026년03월분_콘텐츠개발계약(신규14)_조세지원본부\"/>
    </mc:Choice>
  </mc:AlternateContent>
  <xr:revisionPtr revIDLastSave="0" documentId="13_ncr:1_{A72AC06C-0A23-4DE4-AC69-C29249BE359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콘텐츠개발내역" sheetId="1" r:id="rId1"/>
    <sheet name="단가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4" i="3" l="1"/>
  <c r="H14" i="3"/>
  <c r="E14" i="3"/>
  <c r="M7" i="1"/>
  <c r="N7" i="1" s="1"/>
  <c r="M6" i="1"/>
  <c r="N6" i="1" s="1"/>
  <c r="M5" i="1"/>
  <c r="N5" i="1" s="1"/>
  <c r="E9" i="3"/>
  <c r="I9" i="3"/>
  <c r="H9" i="3"/>
  <c r="M4" i="1"/>
  <c r="N4" i="1" s="1"/>
  <c r="N8" i="1" l="1"/>
  <c r="M8" i="1"/>
  <c r="G8" i="1"/>
  <c r="F8" i="1"/>
  <c r="K8" i="1"/>
</calcChain>
</file>

<file path=xl/sharedStrings.xml><?xml version="1.0" encoding="utf-8"?>
<sst xmlns="http://schemas.openxmlformats.org/spreadsheetml/2006/main" count="88" uniqueCount="47">
  <si>
    <t>단가</t>
  </si>
  <si>
    <t>합계</t>
  </si>
  <si>
    <t>강사명</t>
    <phoneticPr fontId="1" type="noConversion"/>
  </si>
  <si>
    <t>금액</t>
    <phoneticPr fontId="1" type="noConversion"/>
  </si>
  <si>
    <t>강사소속</t>
    <phoneticPr fontId="1" type="noConversion"/>
  </si>
  <si>
    <t>강좌명</t>
    <phoneticPr fontId="1" type="noConversion"/>
  </si>
  <si>
    <t>연번</t>
    <phoneticPr fontId="1" type="noConversion"/>
  </si>
  <si>
    <t>콘텐츠유형</t>
    <phoneticPr fontId="1" type="noConversion"/>
  </si>
  <si>
    <t>콘텐츠 유형별 개발 단가</t>
    <phoneticPr fontId="1" type="noConversion"/>
  </si>
  <si>
    <t>단가(vat별도)/차시</t>
    <phoneticPr fontId="1" type="noConversion"/>
  </si>
  <si>
    <t>분량</t>
    <phoneticPr fontId="1" type="noConversion"/>
  </si>
  <si>
    <t>no</t>
    <phoneticPr fontId="1" type="noConversion"/>
  </si>
  <si>
    <t>퀴즈</t>
    <phoneticPr fontId="1" type="noConversion"/>
  </si>
  <si>
    <t>구분</t>
    <phoneticPr fontId="1" type="noConversion"/>
  </si>
  <si>
    <t>챕터수</t>
    <phoneticPr fontId="1" type="noConversion"/>
  </si>
  <si>
    <t>등록일
(수정일)</t>
    <phoneticPr fontId="1" type="noConversion"/>
  </si>
  <si>
    <t>포팅(동영상 무편집)</t>
    <phoneticPr fontId="1" type="noConversion"/>
  </si>
  <si>
    <t>포팅(동영상 편집)</t>
    <phoneticPr fontId="1" type="noConversion"/>
  </si>
  <si>
    <t>단가(vat별도)/챕터</t>
    <phoneticPr fontId="1" type="noConversion"/>
  </si>
  <si>
    <t>외부과정 포팅 단가(삼일, 조세일보, 휴넷 등)</t>
    <phoneticPr fontId="1" type="noConversion"/>
  </si>
  <si>
    <t>총액(VAT포함)</t>
    <phoneticPr fontId="1" type="noConversion"/>
  </si>
  <si>
    <t>시간(차시)</t>
    <phoneticPr fontId="1" type="noConversion"/>
  </si>
  <si>
    <t>단가기준 유형</t>
    <phoneticPr fontId="1" type="noConversion"/>
  </si>
  <si>
    <t>제작유형</t>
    <phoneticPr fontId="1" type="noConversion"/>
  </si>
  <si>
    <t>유형</t>
    <phoneticPr fontId="1" type="noConversion"/>
  </si>
  <si>
    <t>총액(VAT 포함)</t>
    <phoneticPr fontId="1" type="noConversion"/>
  </si>
  <si>
    <t>전체 합계</t>
    <phoneticPr fontId="1" type="noConversion"/>
  </si>
  <si>
    <t>크로마키</t>
    <phoneticPr fontId="1" type="noConversion"/>
  </si>
  <si>
    <t>* 조세지원본부</t>
    <phoneticPr fontId="1" type="noConversion"/>
  </si>
  <si>
    <t>* 사무직원</t>
    <phoneticPr fontId="1" type="noConversion"/>
  </si>
  <si>
    <t>* 일반회원</t>
    <phoneticPr fontId="1" type="noConversion"/>
  </si>
  <si>
    <t>신규</t>
    <phoneticPr fontId="1" type="noConversion"/>
  </si>
  <si>
    <t>1~4시간</t>
    <phoneticPr fontId="1" type="noConversion"/>
  </si>
  <si>
    <t>4시간 초과</t>
    <phoneticPr fontId="1" type="noConversion"/>
  </si>
  <si>
    <t>기준시간(1일)</t>
    <phoneticPr fontId="1" type="noConversion"/>
  </si>
  <si>
    <t>별도 협의</t>
    <phoneticPr fontId="1" type="noConversion"/>
  </si>
  <si>
    <t>출장비(서울소재 - 촬영감독 1명)</t>
    <phoneticPr fontId="1" type="noConversion"/>
  </si>
  <si>
    <t>FullVod(출장)</t>
    <phoneticPr fontId="1" type="noConversion"/>
  </si>
  <si>
    <t>태블릿형</t>
    <phoneticPr fontId="1" type="noConversion"/>
  </si>
  <si>
    <t>전자칠판형</t>
    <phoneticPr fontId="1" type="noConversion"/>
  </si>
  <si>
    <t xml:space="preserve">이철재 </t>
    <phoneticPr fontId="1" type="noConversion"/>
  </si>
  <si>
    <t>03월 콘텐츠 개발 내역</t>
    <phoneticPr fontId="1" type="noConversion"/>
  </si>
  <si>
    <t>법인세 실무1(2026)</t>
    <phoneticPr fontId="1" type="noConversion"/>
  </si>
  <si>
    <t>법인세 실무2(2026)</t>
    <phoneticPr fontId="1" type="noConversion"/>
  </si>
  <si>
    <t>법인세 실무3(2026)</t>
    <phoneticPr fontId="1" type="noConversion"/>
  </si>
  <si>
    <t>양도소득세 실무(2026)</t>
    <phoneticPr fontId="1" type="noConversion"/>
  </si>
  <si>
    <t>작성일 : 2026-03-16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</si>
</sst>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rgb="FF00000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b/>
      <sz val="10"/>
      <color theme="0"/>
      <name val="맑은 고딕"/>
      <family val="3"/>
      <charset val="129"/>
      <scheme val="major"/>
    </font>
    <font>
      <b/>
      <sz val="10"/>
      <color theme="1"/>
      <name val="맑은 고딕"/>
      <family val="3"/>
      <charset val="129"/>
      <scheme val="major"/>
    </font>
    <font>
      <sz val="10"/>
      <name val="Arial"/>
      <family val="2"/>
    </font>
    <font>
      <u/>
      <sz val="11"/>
      <color theme="10"/>
      <name val="맑은 고딕"/>
      <family val="3"/>
      <charset val="129"/>
    </font>
    <font>
      <b/>
      <sz val="16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7">
    <xf numFmtId="0" fontId="0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10" fillId="0" borderId="0" applyFill="0"/>
    <xf numFmtId="0" fontId="11" fillId="0" borderId="0" applyNumberFormat="0" applyFill="0" applyBorder="0" applyAlignment="0" applyProtection="0">
      <alignment vertical="top"/>
      <protection locked="0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7" fillId="0" borderId="0" xfId="0" applyFont="1">
      <alignment vertical="center"/>
    </xf>
    <xf numFmtId="0" fontId="0" fillId="0" borderId="0" xfId="0" quotePrefix="1" applyAlignment="1">
      <alignment vertical="center" wrapText="1"/>
    </xf>
    <xf numFmtId="0" fontId="4" fillId="3" borderId="1" xfId="0" applyFont="1" applyFill="1" applyBorder="1" applyAlignment="1">
      <alignment horizontal="center" vertical="center" wrapText="1"/>
    </xf>
    <xf numFmtId="41" fontId="4" fillId="3" borderId="1" xfId="1" applyFont="1" applyFill="1" applyBorder="1" applyAlignment="1">
      <alignment horizontal="right" vertical="center" wrapText="1"/>
    </xf>
    <xf numFmtId="41" fontId="5" fillId="3" borderId="1" xfId="1" applyFont="1" applyFill="1" applyBorder="1" applyAlignment="1">
      <alignment horizontal="right" vertical="center"/>
    </xf>
    <xf numFmtId="0" fontId="4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41" fontId="8" fillId="4" borderId="1" xfId="1" applyFont="1" applyFill="1" applyBorder="1" applyAlignment="1">
      <alignment horizontal="right" vertical="center" wrapText="1"/>
    </xf>
    <xf numFmtId="0" fontId="14" fillId="0" borderId="0" xfId="0" applyFont="1">
      <alignment vertical="center"/>
    </xf>
    <xf numFmtId="0" fontId="4" fillId="3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left" vertical="center"/>
    </xf>
    <xf numFmtId="176" fontId="5" fillId="3" borderId="4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41" fontId="3" fillId="5" borderId="1" xfId="1" applyFont="1" applyFill="1" applyBorder="1" applyAlignment="1">
      <alignment vertical="center" wrapText="1"/>
    </xf>
    <xf numFmtId="0" fontId="3" fillId="5" borderId="1" xfId="1" applyNumberFormat="1" applyFont="1" applyFill="1" applyBorder="1" applyAlignment="1">
      <alignment horizontal="center" vertical="center" wrapText="1"/>
    </xf>
    <xf numFmtId="41" fontId="3" fillId="5" borderId="1" xfId="1" applyFont="1" applyFill="1" applyBorder="1" applyAlignment="1">
      <alignment horizontal="center" vertical="center" wrapText="1"/>
    </xf>
    <xf numFmtId="0" fontId="14" fillId="3" borderId="1" xfId="0" applyFont="1" applyFill="1" applyBorder="1">
      <alignment vertical="center"/>
    </xf>
    <xf numFmtId="0" fontId="14" fillId="3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8" fillId="4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3" fontId="4" fillId="0" borderId="1" xfId="0" applyNumberFormat="1" applyFont="1" applyBorder="1" applyAlignment="1">
      <alignment horizontal="center" vertical="center" wrapText="1"/>
    </xf>
    <xf numFmtId="0" fontId="13" fillId="0" borderId="0" xfId="0" applyFont="1">
      <alignment vertical="center"/>
    </xf>
    <xf numFmtId="0" fontId="4" fillId="0" borderId="0" xfId="0" applyFont="1" applyBorder="1" applyAlignment="1">
      <alignment horizontal="center" vertical="center" wrapText="1"/>
    </xf>
    <xf numFmtId="3" fontId="4" fillId="0" borderId="0" xfId="0" applyNumberFormat="1" applyFont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14" fillId="0" borderId="2" xfId="0" applyFont="1" applyBorder="1" applyAlignment="1">
      <alignment horizontal="left" vertical="center"/>
    </xf>
    <xf numFmtId="41" fontId="3" fillId="5" borderId="1" xfId="1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left" vertical="center"/>
    </xf>
    <xf numFmtId="0" fontId="13" fillId="0" borderId="2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</cellXfs>
  <cellStyles count="7">
    <cellStyle name="쉼표 [0]" xfId="1" builtinId="6"/>
    <cellStyle name="쉼표 [0] 2" xfId="5" xr:uid="{00000000-0005-0000-0000-000001000000}"/>
    <cellStyle name="쉼표 [0] 3" xfId="6" xr:uid="{00000000-0005-0000-0000-000002000000}"/>
    <cellStyle name="쉼표 [0] 4" xfId="4" xr:uid="{00000000-0005-0000-0000-000003000000}"/>
    <cellStyle name="표준" xfId="0" builtinId="0"/>
    <cellStyle name="표준 2" xfId="2" xr:uid="{00000000-0005-0000-0000-000005000000}"/>
    <cellStyle name="하이퍼링크 2" xfId="3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"/>
  <sheetViews>
    <sheetView tabSelected="1" workbookViewId="0">
      <selection activeCell="J14" sqref="J14"/>
    </sheetView>
  </sheetViews>
  <sheetFormatPr defaultRowHeight="16.5" x14ac:dyDescent="0.3"/>
  <cols>
    <col min="1" max="1" width="5.5" bestFit="1" customWidth="1"/>
    <col min="2" max="2" width="7.375" customWidth="1"/>
    <col min="3" max="3" width="29.875" customWidth="1"/>
    <col min="4" max="4" width="9.25" customWidth="1"/>
    <col min="5" max="5" width="9.875" customWidth="1"/>
    <col min="6" max="6" width="9.25" style="10" bestFit="1" customWidth="1"/>
    <col min="7" max="7" width="6.375" style="10" bestFit="1" customWidth="1"/>
    <col min="8" max="9" width="10.125" customWidth="1"/>
    <col min="10" max="10" width="12.125" bestFit="1" customWidth="1"/>
    <col min="11" max="11" width="5.5" bestFit="1" customWidth="1"/>
    <col min="12" max="12" width="8.375" bestFit="1" customWidth="1"/>
    <col min="13" max="13" width="12.75" customWidth="1"/>
    <col min="14" max="14" width="13.75" customWidth="1"/>
  </cols>
  <sheetData>
    <row r="1" spans="1:14" ht="39.75" customHeight="1" x14ac:dyDescent="0.3">
      <c r="A1" s="35" t="s">
        <v>41</v>
      </c>
      <c r="B1" s="35"/>
      <c r="C1" s="35"/>
      <c r="D1" s="35"/>
      <c r="E1" s="35"/>
      <c r="F1" s="2"/>
      <c r="G1" s="2"/>
      <c r="H1" s="1"/>
      <c r="I1" s="1"/>
      <c r="J1" s="1"/>
      <c r="K1" s="1"/>
      <c r="L1" s="1"/>
      <c r="M1" s="1"/>
      <c r="N1" s="23" t="s">
        <v>46</v>
      </c>
    </row>
    <row r="2" spans="1:14" ht="18.75" customHeight="1" x14ac:dyDescent="0.3">
      <c r="A2" s="33" t="s">
        <v>28</v>
      </c>
      <c r="B2" s="33"/>
      <c r="C2" s="33"/>
      <c r="D2" s="14"/>
      <c r="E2" s="14"/>
      <c r="F2" s="2"/>
      <c r="G2" s="2"/>
      <c r="H2" s="1"/>
      <c r="I2" s="1"/>
      <c r="J2" s="1"/>
      <c r="K2" s="1"/>
      <c r="L2" s="1"/>
      <c r="M2" s="1"/>
      <c r="N2" s="2"/>
    </row>
    <row r="3" spans="1:14" ht="27" x14ac:dyDescent="0.3">
      <c r="A3" s="3" t="s">
        <v>6</v>
      </c>
      <c r="B3" s="3" t="s">
        <v>13</v>
      </c>
      <c r="C3" s="3" t="s">
        <v>5</v>
      </c>
      <c r="D3" s="3" t="s">
        <v>2</v>
      </c>
      <c r="E3" s="3" t="s">
        <v>4</v>
      </c>
      <c r="F3" s="3" t="s">
        <v>21</v>
      </c>
      <c r="G3" s="3" t="s">
        <v>14</v>
      </c>
      <c r="H3" s="3" t="s">
        <v>15</v>
      </c>
      <c r="I3" s="3" t="s">
        <v>23</v>
      </c>
      <c r="J3" s="3" t="s">
        <v>22</v>
      </c>
      <c r="K3" s="3" t="s">
        <v>12</v>
      </c>
      <c r="L3" s="3" t="s">
        <v>0</v>
      </c>
      <c r="M3" s="3" t="s">
        <v>3</v>
      </c>
      <c r="N3" s="3" t="s">
        <v>25</v>
      </c>
    </row>
    <row r="4" spans="1:14" x14ac:dyDescent="0.3">
      <c r="A4" s="6">
        <v>1</v>
      </c>
      <c r="B4" s="6" t="s">
        <v>31</v>
      </c>
      <c r="C4" s="20" t="s">
        <v>42</v>
      </c>
      <c r="D4" s="22" t="s">
        <v>40</v>
      </c>
      <c r="E4" s="13"/>
      <c r="F4" s="21">
        <v>3</v>
      </c>
      <c r="G4" s="22">
        <v>3</v>
      </c>
      <c r="H4" s="15"/>
      <c r="I4" s="6" t="s">
        <v>27</v>
      </c>
      <c r="J4" s="6" t="s">
        <v>27</v>
      </c>
      <c r="K4" s="16"/>
      <c r="L4" s="7">
        <v>500000</v>
      </c>
      <c r="M4" s="7">
        <f t="shared" ref="M4" si="0">L4*F4</f>
        <v>1500000</v>
      </c>
      <c r="N4" s="8">
        <f t="shared" ref="N4" si="1">M4*1.1</f>
        <v>1650000.0000000002</v>
      </c>
    </row>
    <row r="5" spans="1:14" x14ac:dyDescent="0.3">
      <c r="A5" s="6">
        <v>2</v>
      </c>
      <c r="B5" s="6" t="s">
        <v>31</v>
      </c>
      <c r="C5" s="20" t="s">
        <v>43</v>
      </c>
      <c r="D5" s="22" t="s">
        <v>40</v>
      </c>
      <c r="E5" s="13"/>
      <c r="F5" s="21">
        <v>3</v>
      </c>
      <c r="G5" s="22">
        <v>3</v>
      </c>
      <c r="H5" s="15"/>
      <c r="I5" s="6" t="s">
        <v>27</v>
      </c>
      <c r="J5" s="6" t="s">
        <v>27</v>
      </c>
      <c r="K5" s="16"/>
      <c r="L5" s="7">
        <v>500000</v>
      </c>
      <c r="M5" s="7">
        <f t="shared" ref="M5:M7" si="2">L5*F5</f>
        <v>1500000</v>
      </c>
      <c r="N5" s="8">
        <f t="shared" ref="N5:N7" si="3">M5*1.1</f>
        <v>1650000.0000000002</v>
      </c>
    </row>
    <row r="6" spans="1:14" x14ac:dyDescent="0.3">
      <c r="A6" s="6">
        <v>3</v>
      </c>
      <c r="B6" s="6" t="s">
        <v>31</v>
      </c>
      <c r="C6" s="20" t="s">
        <v>44</v>
      </c>
      <c r="D6" s="22" t="s">
        <v>40</v>
      </c>
      <c r="E6" s="13"/>
      <c r="F6" s="21">
        <v>4</v>
      </c>
      <c r="G6" s="22">
        <v>4</v>
      </c>
      <c r="H6" s="15"/>
      <c r="I6" s="6" t="s">
        <v>27</v>
      </c>
      <c r="J6" s="6" t="s">
        <v>27</v>
      </c>
      <c r="K6" s="16"/>
      <c r="L6" s="7">
        <v>500000</v>
      </c>
      <c r="M6" s="7">
        <f t="shared" si="2"/>
        <v>2000000</v>
      </c>
      <c r="N6" s="8">
        <f t="shared" si="3"/>
        <v>2200000</v>
      </c>
    </row>
    <row r="7" spans="1:14" x14ac:dyDescent="0.3">
      <c r="A7" s="6">
        <v>4</v>
      </c>
      <c r="B7" s="6" t="s">
        <v>31</v>
      </c>
      <c r="C7" s="20" t="s">
        <v>45</v>
      </c>
      <c r="D7" s="22" t="s">
        <v>40</v>
      </c>
      <c r="E7" s="13"/>
      <c r="F7" s="21">
        <v>4</v>
      </c>
      <c r="G7" s="22">
        <v>4</v>
      </c>
      <c r="H7" s="15"/>
      <c r="I7" s="6" t="s">
        <v>27</v>
      </c>
      <c r="J7" s="6" t="s">
        <v>27</v>
      </c>
      <c r="K7" s="16"/>
      <c r="L7" s="7">
        <v>500000</v>
      </c>
      <c r="M7" s="7">
        <f t="shared" si="2"/>
        <v>2000000</v>
      </c>
      <c r="N7" s="8">
        <f t="shared" si="3"/>
        <v>2200000</v>
      </c>
    </row>
    <row r="8" spans="1:14" x14ac:dyDescent="0.3">
      <c r="A8" s="34" t="s">
        <v>26</v>
      </c>
      <c r="B8" s="34"/>
      <c r="C8" s="34"/>
      <c r="D8" s="34"/>
      <c r="E8" s="34"/>
      <c r="F8" s="18">
        <f>SUM(F4:F7)</f>
        <v>14</v>
      </c>
      <c r="G8" s="18">
        <f>SUM(G4:G7)</f>
        <v>14</v>
      </c>
      <c r="H8" s="17"/>
      <c r="I8" s="17"/>
      <c r="J8" s="17"/>
      <c r="K8" s="18">
        <f>SUM(K4:K7)</f>
        <v>0</v>
      </c>
      <c r="L8" s="17"/>
      <c r="M8" s="19">
        <f>SUM(M4:M7)</f>
        <v>7000000</v>
      </c>
      <c r="N8" s="19">
        <f>SUM(N4:N7)</f>
        <v>7700000</v>
      </c>
    </row>
  </sheetData>
  <mergeCells count="3">
    <mergeCell ref="A2:C2"/>
    <mergeCell ref="A8:E8"/>
    <mergeCell ref="A1:E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16"/>
  <sheetViews>
    <sheetView workbookViewId="0">
      <selection activeCell="B30" sqref="B30"/>
    </sheetView>
  </sheetViews>
  <sheetFormatPr defaultRowHeight="16.5" x14ac:dyDescent="0.3"/>
  <cols>
    <col min="2" max="3" width="24.875" customWidth="1"/>
    <col min="4" max="4" width="92.125" customWidth="1"/>
  </cols>
  <sheetData>
    <row r="1" spans="2:4" x14ac:dyDescent="0.3">
      <c r="B1" s="36" t="s">
        <v>8</v>
      </c>
      <c r="C1" s="36"/>
    </row>
    <row r="2" spans="2:4" x14ac:dyDescent="0.3">
      <c r="B2" s="25" t="s">
        <v>7</v>
      </c>
      <c r="C2" s="25" t="s">
        <v>9</v>
      </c>
    </row>
    <row r="3" spans="2:4" x14ac:dyDescent="0.3">
      <c r="B3" s="26" t="s">
        <v>27</v>
      </c>
      <c r="C3" s="27">
        <v>500000</v>
      </c>
    </row>
    <row r="4" spans="2:4" x14ac:dyDescent="0.3">
      <c r="B4" s="26" t="s">
        <v>37</v>
      </c>
      <c r="C4" s="27">
        <v>500000</v>
      </c>
    </row>
    <row r="5" spans="2:4" x14ac:dyDescent="0.3">
      <c r="B5" s="26" t="s">
        <v>38</v>
      </c>
      <c r="C5" s="27">
        <v>500000</v>
      </c>
    </row>
    <row r="6" spans="2:4" x14ac:dyDescent="0.3">
      <c r="B6" s="26" t="s">
        <v>39</v>
      </c>
      <c r="C6" s="27">
        <v>500000</v>
      </c>
    </row>
    <row r="7" spans="2:4" x14ac:dyDescent="0.3">
      <c r="B7" s="29"/>
      <c r="C7" s="30"/>
    </row>
    <row r="8" spans="2:4" x14ac:dyDescent="0.3">
      <c r="B8" s="36" t="s">
        <v>19</v>
      </c>
      <c r="C8" s="36"/>
    </row>
    <row r="9" spans="2:4" x14ac:dyDescent="0.3">
      <c r="B9" s="25" t="s">
        <v>7</v>
      </c>
      <c r="C9" s="25" t="s">
        <v>18</v>
      </c>
    </row>
    <row r="10" spans="2:4" x14ac:dyDescent="0.3">
      <c r="B10" s="26" t="s">
        <v>16</v>
      </c>
      <c r="C10" s="27">
        <v>50000</v>
      </c>
    </row>
    <row r="11" spans="2:4" x14ac:dyDescent="0.3">
      <c r="B11" s="6" t="s">
        <v>17</v>
      </c>
      <c r="C11" s="31">
        <v>160000</v>
      </c>
      <c r="D11" s="5"/>
    </row>
    <row r="12" spans="2:4" x14ac:dyDescent="0.3">
      <c r="B12" s="28"/>
      <c r="C12" s="28"/>
    </row>
    <row r="13" spans="2:4" x14ac:dyDescent="0.3">
      <c r="B13" s="36" t="s">
        <v>36</v>
      </c>
      <c r="C13" s="36"/>
    </row>
    <row r="14" spans="2:4" x14ac:dyDescent="0.3">
      <c r="B14" s="25" t="s">
        <v>34</v>
      </c>
      <c r="C14" s="25" t="s">
        <v>18</v>
      </c>
    </row>
    <row r="15" spans="2:4" x14ac:dyDescent="0.3">
      <c r="B15" s="26" t="s">
        <v>32</v>
      </c>
      <c r="C15" s="27">
        <v>100000</v>
      </c>
    </row>
    <row r="16" spans="2:4" x14ac:dyDescent="0.3">
      <c r="B16" s="6" t="s">
        <v>33</v>
      </c>
      <c r="C16" s="31" t="s">
        <v>35</v>
      </c>
    </row>
  </sheetData>
  <mergeCells count="3">
    <mergeCell ref="B1:C1"/>
    <mergeCell ref="B8:C8"/>
    <mergeCell ref="B13:C13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I14"/>
  <sheetViews>
    <sheetView workbookViewId="0">
      <selection activeCell="D24" sqref="D24"/>
    </sheetView>
  </sheetViews>
  <sheetFormatPr defaultRowHeight="13.5" x14ac:dyDescent="0.3"/>
  <cols>
    <col min="1" max="1" width="9" style="4"/>
    <col min="2" max="2" width="4" style="4" customWidth="1"/>
    <col min="3" max="3" width="7.375" style="4" customWidth="1"/>
    <col min="4" max="4" width="20" style="4" customWidth="1"/>
    <col min="5" max="5" width="5.25" style="4" customWidth="1"/>
    <col min="6" max="6" width="9.875" style="4" customWidth="1"/>
    <col min="7" max="7" width="8.375" style="4" customWidth="1"/>
    <col min="8" max="8" width="12.25" style="4" customWidth="1"/>
    <col min="9" max="9" width="12.25" style="4" bestFit="1" customWidth="1"/>
    <col min="10" max="13" width="9" style="4"/>
    <col min="14" max="14" width="17.125" style="4" customWidth="1"/>
    <col min="15" max="16384" width="9" style="4"/>
  </cols>
  <sheetData>
    <row r="3" spans="2:9" x14ac:dyDescent="0.3">
      <c r="B3" s="12" t="s">
        <v>30</v>
      </c>
    </row>
    <row r="4" spans="2:9" x14ac:dyDescent="0.3">
      <c r="B4" s="9" t="s">
        <v>11</v>
      </c>
      <c r="C4" s="9" t="s">
        <v>13</v>
      </c>
      <c r="D4" s="9" t="s">
        <v>5</v>
      </c>
      <c r="E4" s="9" t="s">
        <v>10</v>
      </c>
      <c r="F4" s="9" t="s">
        <v>24</v>
      </c>
      <c r="G4" s="9" t="s">
        <v>0</v>
      </c>
      <c r="H4" s="9" t="s">
        <v>3</v>
      </c>
      <c r="I4" s="9" t="s">
        <v>20</v>
      </c>
    </row>
    <row r="5" spans="2:9" x14ac:dyDescent="0.3">
      <c r="B5" s="6">
        <v>1</v>
      </c>
      <c r="C5" s="6" t="s">
        <v>31</v>
      </c>
      <c r="D5" s="20" t="s">
        <v>42</v>
      </c>
      <c r="E5" s="21">
        <v>3</v>
      </c>
      <c r="F5" s="6" t="s">
        <v>27</v>
      </c>
      <c r="G5" s="7">
        <v>500000</v>
      </c>
      <c r="H5" s="7">
        <v>1500000</v>
      </c>
      <c r="I5" s="8">
        <v>1650000.0000000002</v>
      </c>
    </row>
    <row r="6" spans="2:9" x14ac:dyDescent="0.3">
      <c r="B6" s="6">
        <v>2</v>
      </c>
      <c r="C6" s="6" t="s">
        <v>31</v>
      </c>
      <c r="D6" s="20" t="s">
        <v>43</v>
      </c>
      <c r="E6" s="21">
        <v>3</v>
      </c>
      <c r="F6" s="6" t="s">
        <v>27</v>
      </c>
      <c r="G6" s="7">
        <v>500000</v>
      </c>
      <c r="H6" s="7">
        <v>1500000</v>
      </c>
      <c r="I6" s="8">
        <v>1650000.0000000002</v>
      </c>
    </row>
    <row r="7" spans="2:9" x14ac:dyDescent="0.3">
      <c r="B7" s="6">
        <v>3</v>
      </c>
      <c r="C7" s="6" t="s">
        <v>31</v>
      </c>
      <c r="D7" s="20" t="s">
        <v>44</v>
      </c>
      <c r="E7" s="21">
        <v>4</v>
      </c>
      <c r="F7" s="6" t="s">
        <v>27</v>
      </c>
      <c r="G7" s="7">
        <v>500000</v>
      </c>
      <c r="H7" s="7">
        <v>2000000</v>
      </c>
      <c r="I7" s="8">
        <v>2200000</v>
      </c>
    </row>
    <row r="8" spans="2:9" x14ac:dyDescent="0.3">
      <c r="B8" s="6">
        <v>4</v>
      </c>
      <c r="C8" s="6" t="s">
        <v>31</v>
      </c>
      <c r="D8" s="20" t="s">
        <v>45</v>
      </c>
      <c r="E8" s="21">
        <v>4</v>
      </c>
      <c r="F8" s="6" t="s">
        <v>27</v>
      </c>
      <c r="G8" s="7">
        <v>500000</v>
      </c>
      <c r="H8" s="7">
        <v>2000000</v>
      </c>
      <c r="I8" s="8">
        <v>2200000</v>
      </c>
    </row>
    <row r="9" spans="2:9" x14ac:dyDescent="0.3">
      <c r="B9" s="37" t="s">
        <v>1</v>
      </c>
      <c r="C9" s="37"/>
      <c r="D9" s="37"/>
      <c r="E9" s="24">
        <f>SUM(E5:E8)</f>
        <v>14</v>
      </c>
      <c r="F9" s="24"/>
      <c r="G9" s="24"/>
      <c r="H9" s="11">
        <f>SUM(H5:H8)</f>
        <v>7000000</v>
      </c>
      <c r="I9" s="11">
        <f>SUM(I5:I8)</f>
        <v>7700000</v>
      </c>
    </row>
    <row r="11" spans="2:9" x14ac:dyDescent="0.3">
      <c r="B11" s="12" t="s">
        <v>29</v>
      </c>
    </row>
    <row r="12" spans="2:9" x14ac:dyDescent="0.3">
      <c r="B12" s="9" t="s">
        <v>11</v>
      </c>
      <c r="C12" s="9" t="s">
        <v>13</v>
      </c>
      <c r="D12" s="9" t="s">
        <v>5</v>
      </c>
      <c r="E12" s="9" t="s">
        <v>10</v>
      </c>
      <c r="F12" s="9" t="s">
        <v>24</v>
      </c>
      <c r="G12" s="9" t="s">
        <v>0</v>
      </c>
      <c r="H12" s="9" t="s">
        <v>3</v>
      </c>
      <c r="I12" s="9" t="s">
        <v>20</v>
      </c>
    </row>
    <row r="13" spans="2:9" x14ac:dyDescent="0.3">
      <c r="B13" s="6">
        <v>1</v>
      </c>
      <c r="C13" s="6"/>
      <c r="D13" s="20"/>
      <c r="E13" s="21"/>
      <c r="F13" s="6"/>
      <c r="G13" s="7"/>
      <c r="H13" s="7"/>
      <c r="I13" s="8"/>
    </row>
    <row r="14" spans="2:9" x14ac:dyDescent="0.3">
      <c r="B14" s="37" t="s">
        <v>1</v>
      </c>
      <c r="C14" s="37"/>
      <c r="D14" s="37"/>
      <c r="E14" s="32">
        <f>SUM(E13:E13)</f>
        <v>0</v>
      </c>
      <c r="F14" s="32"/>
      <c r="G14" s="32"/>
      <c r="H14" s="11">
        <f>SUM(H13:H13)</f>
        <v>0</v>
      </c>
      <c r="I14" s="11">
        <f>SUM(I13:I13)</f>
        <v>0</v>
      </c>
    </row>
  </sheetData>
  <mergeCells count="2">
    <mergeCell ref="B9:D9"/>
    <mergeCell ref="B14:D14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콘텐츠개발내역</vt:lpstr>
      <vt:lpstr>단가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kicpa</dc:creator>
  <cp:lastModifiedBy>이상현</cp:lastModifiedBy>
  <cp:lastPrinted>2016-08-02T01:30:25Z</cp:lastPrinted>
  <dcterms:created xsi:type="dcterms:W3CDTF">2016-08-02T01:21:24Z</dcterms:created>
  <dcterms:modified xsi:type="dcterms:W3CDTF">2026-03-16T01:55:57Z</dcterms:modified>
</cp:coreProperties>
</file>