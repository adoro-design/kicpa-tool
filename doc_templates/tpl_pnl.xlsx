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P08.AI\04.한공회콘텐츠관리Tool\01.자료\정산자료 템플릿\"/>
    </mc:Choice>
  </mc:AlternateContent>
  <xr:revisionPtr revIDLastSave="0" documentId="13_ncr:1_{EA893A34-4CD5-4325-8B93-61E807204454}" xr6:coauthVersionLast="47" xr6:coauthVersionMax="47" xr10:uidLastSave="{00000000-0000-0000-0000-000000000000}"/>
  <bookViews>
    <workbookView xWindow="28680" yWindow="-120" windowWidth="29040" windowHeight="15720" tabRatio="605" xr2:uid="{00000000-000D-0000-FFFF-FFFF00000000}"/>
  </bookViews>
  <sheets>
    <sheet name="손익분석서_V1.0" sheetId="43" r:id="rId1"/>
  </sheets>
  <definedNames>
    <definedName name="_xlnm.Print_Area" localSheetId="0">손익분석서_V1.0!$A$1:$I$34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43" l="1"/>
  <c r="H11" i="43"/>
  <c r="I11" i="43" s="1"/>
  <c r="I10" i="43" l="1"/>
  <c r="H10" i="43"/>
  <c r="E33" i="43"/>
  <c r="I18" i="43" l="1"/>
  <c r="I15" i="43" l="1"/>
  <c r="D32" i="43"/>
  <c r="I24" i="43" l="1"/>
  <c r="I26" i="43" s="1"/>
  <c r="I25" i="43" l="1"/>
  <c r="I27" i="43" s="1"/>
  <c r="I28" i="43" s="1"/>
  <c r="D33" i="43"/>
</calcChain>
</file>

<file path=xl/sharedStrings.xml><?xml version="1.0" encoding="utf-8"?>
<sst xmlns="http://schemas.openxmlformats.org/spreadsheetml/2006/main" count="52" uniqueCount="46">
  <si>
    <t>매출①</t>
  </si>
  <si>
    <t>비율</t>
    <phoneticPr fontId="2" type="noConversion"/>
  </si>
  <si>
    <t>구분</t>
    <phoneticPr fontId="2" type="noConversion"/>
  </si>
  <si>
    <t>버전</t>
    <phoneticPr fontId="2" type="noConversion"/>
  </si>
  <si>
    <t>프로젝트명</t>
    <phoneticPr fontId="2" type="noConversion"/>
  </si>
  <si>
    <t>작 성 일</t>
    <phoneticPr fontId="2" type="noConversion"/>
  </si>
  <si>
    <t>작 성 자</t>
    <phoneticPr fontId="2" type="noConversion"/>
  </si>
  <si>
    <t>역할</t>
    <phoneticPr fontId="2" type="noConversion"/>
  </si>
  <si>
    <t>성명</t>
    <phoneticPr fontId="2" type="noConversion"/>
  </si>
  <si>
    <t>시작일시</t>
    <phoneticPr fontId="2" type="noConversion"/>
  </si>
  <si>
    <t>종료일시</t>
    <phoneticPr fontId="2" type="noConversion"/>
  </si>
  <si>
    <t>단가</t>
    <phoneticPr fontId="2" type="noConversion"/>
  </si>
  <si>
    <t>단위</t>
    <phoneticPr fontId="2" type="noConversion"/>
  </si>
  <si>
    <t>금액</t>
    <phoneticPr fontId="2" type="noConversion"/>
  </si>
  <si>
    <t>항   목</t>
  </si>
  <si>
    <t>내   역</t>
  </si>
  <si>
    <t>직접
인건비</t>
    <phoneticPr fontId="2" type="noConversion"/>
  </si>
  <si>
    <t>본부</t>
    <phoneticPr fontId="2" type="noConversion"/>
  </si>
  <si>
    <t>직접인건비 소계</t>
    <phoneticPr fontId="2" type="noConversion"/>
  </si>
  <si>
    <t>직접경비</t>
    <phoneticPr fontId="2" type="noConversion"/>
  </si>
  <si>
    <t>직접경비 소계</t>
    <phoneticPr fontId="2" type="noConversion"/>
  </si>
  <si>
    <t>비용 합계②</t>
    <phoneticPr fontId="2" type="noConversion"/>
  </si>
  <si>
    <t>외주율</t>
    <phoneticPr fontId="2" type="noConversion"/>
  </si>
  <si>
    <t>손익(①-②)</t>
    <phoneticPr fontId="2" type="noConversion"/>
  </si>
  <si>
    <t>손익률</t>
    <phoneticPr fontId="2" type="noConversion"/>
  </si>
  <si>
    <t>담당</t>
    <phoneticPr fontId="2" type="noConversion"/>
  </si>
  <si>
    <t>비고</t>
    <phoneticPr fontId="2" type="noConversion"/>
  </si>
  <si>
    <t>구분</t>
    <phoneticPr fontId="2" type="noConversion"/>
  </si>
  <si>
    <t>코드</t>
    <phoneticPr fontId="2" type="noConversion"/>
  </si>
  <si>
    <t>본부별배분</t>
    <phoneticPr fontId="2" type="noConversion"/>
  </si>
  <si>
    <t>총합</t>
    <phoneticPr fontId="2" type="noConversion"/>
  </si>
  <si>
    <t>TOT</t>
    <phoneticPr fontId="2" type="noConversion"/>
  </si>
  <si>
    <t>금액(VAT별도)</t>
    <phoneticPr fontId="2" type="noConversion"/>
  </si>
  <si>
    <t>SS</t>
    <phoneticPr fontId="2" type="noConversion"/>
  </si>
  <si>
    <t>투입</t>
    <phoneticPr fontId="2" type="noConversion"/>
  </si>
  <si>
    <t>에듀테크서비스본부</t>
    <phoneticPr fontId="2" type="noConversion"/>
  </si>
  <si>
    <r>
      <t>단가</t>
    </r>
    <r>
      <rPr>
        <sz val="9"/>
        <rFont val="Tahoma"/>
        <family val="2"/>
      </rPr>
      <t/>
    </r>
    <phoneticPr fontId="2" type="noConversion"/>
  </si>
  <si>
    <t>본부별 월 인건비</t>
    <phoneticPr fontId="2" type="noConversion"/>
  </si>
  <si>
    <t>이상현</t>
    <phoneticPr fontId="2" type="noConversion"/>
  </si>
  <si>
    <t>염왕도</t>
    <phoneticPr fontId="2" type="noConversion"/>
  </si>
  <si>
    <t>영상촬영 및 편집, 포팅</t>
    <phoneticPr fontId="2" type="noConversion"/>
  </si>
  <si>
    <t>PM</t>
    <phoneticPr fontId="2" type="noConversion"/>
  </si>
  <si>
    <t>스튜디오 대관</t>
    <phoneticPr fontId="2" type="noConversion"/>
  </si>
  <si>
    <t>주승돈</t>
    <phoneticPr fontId="2" type="noConversion"/>
  </si>
  <si>
    <t xml:space="preserve">2026 손익분석서  </t>
    <phoneticPr fontId="2" type="noConversion"/>
  </si>
  <si>
    <t>한국공인회계사 콘텐츠 개발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</si>
</sst>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7" formatCode="0.0%"/>
    <numFmt numFmtId="178" formatCode="0.0_ "/>
    <numFmt numFmtId="179" formatCode="yy&quot;/&quot;m&quot;/&quot;d;@"/>
    <numFmt numFmtId="180" formatCode="#,##0_ "/>
    <numFmt numFmtId="181" formatCode="&quot;₩&quot;#,##0"/>
    <numFmt numFmtId="182" formatCode="yyyy&quot;/&quot;m&quot;/&quot;d;@"/>
    <numFmt numFmtId="183" formatCode="&quot;₩&quot;#,##0.00"/>
    <numFmt numFmtId="184" formatCode="&quot;₩&quot;#,##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Tahoma"/>
      <family val="2"/>
    </font>
    <font>
      <sz val="9"/>
      <name val="굴림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b/>
      <sz val="9"/>
      <color indexed="8"/>
      <name val="돋움"/>
      <family val="3"/>
      <charset val="129"/>
    </font>
    <font>
      <sz val="12"/>
      <name val="바탕체"/>
      <family val="1"/>
      <charset val="129"/>
    </font>
    <font>
      <sz val="10"/>
      <name val="명조"/>
      <family val="3"/>
      <charset val="129"/>
    </font>
    <font>
      <sz val="10"/>
      <name val="Helv"/>
      <family val="2"/>
    </font>
    <font>
      <b/>
      <sz val="12"/>
      <name val="Arial"/>
      <family val="2"/>
    </font>
    <font>
      <sz val="8"/>
      <name val="Times New Roman"/>
      <family val="1"/>
    </font>
    <font>
      <sz val="9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0" fontId="1" fillId="0" borderId="0" applyFill="0" applyBorder="0" applyAlignment="0"/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0" fontId="13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3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41" fontId="1" fillId="0" borderId="0" applyFont="0" applyFill="0" applyBorder="0" applyAlignment="0" applyProtection="0"/>
  </cellStyleXfs>
  <cellXfs count="113">
    <xf numFmtId="0" fontId="0" fillId="0" borderId="0" xfId="0"/>
    <xf numFmtId="0" fontId="7" fillId="0" borderId="0" xfId="13" applyFont="1" applyBorder="1" applyAlignment="1">
      <alignment horizontal="center" vertical="center"/>
    </xf>
    <xf numFmtId="0" fontId="6" fillId="0" borderId="0" xfId="13" applyFont="1" applyBorder="1" applyAlignment="1">
      <alignment vertical="center"/>
    </xf>
    <xf numFmtId="0" fontId="6" fillId="0" borderId="0" xfId="13" applyFont="1" applyBorder="1" applyAlignment="1">
      <alignment vertical="center" wrapText="1"/>
    </xf>
    <xf numFmtId="0" fontId="6" fillId="0" borderId="7" xfId="13" applyFont="1" applyFill="1" applyBorder="1" applyAlignment="1">
      <alignment horizontal="center" vertical="center" wrapText="1"/>
    </xf>
    <xf numFmtId="10" fontId="8" fillId="0" borderId="7" xfId="5" applyNumberFormat="1" applyFont="1" applyFill="1" applyBorder="1" applyAlignment="1">
      <alignment horizontal="right" vertical="center" wrapText="1"/>
    </xf>
    <xf numFmtId="0" fontId="6" fillId="0" borderId="0" xfId="13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1" fontId="4" fillId="0" borderId="0" xfId="6" applyFont="1" applyFill="1" applyBorder="1" applyAlignment="1">
      <alignment horizontal="center" vertical="top" wrapText="1"/>
    </xf>
    <xf numFmtId="41" fontId="4" fillId="2" borderId="0" xfId="6" applyFont="1" applyFill="1" applyBorder="1" applyAlignment="1">
      <alignment horizontal="center" vertical="top" wrapText="1"/>
    </xf>
    <xf numFmtId="0" fontId="6" fillId="2" borderId="0" xfId="13" applyFont="1" applyFill="1" applyBorder="1" applyAlignment="1">
      <alignment horizontal="center" vertical="center" wrapText="1"/>
    </xf>
    <xf numFmtId="179" fontId="5" fillId="0" borderId="0" xfId="12" applyNumberFormat="1" applyFont="1" applyFill="1" applyBorder="1" applyAlignment="1">
      <alignment horizontal="center" vertical="center" wrapText="1"/>
    </xf>
    <xf numFmtId="0" fontId="6" fillId="0" borderId="0" xfId="13" applyFont="1" applyAlignment="1">
      <alignment vertical="center"/>
    </xf>
    <xf numFmtId="0" fontId="6" fillId="3" borderId="4" xfId="13" applyFont="1" applyFill="1" applyBorder="1" applyAlignment="1">
      <alignment horizontal="center" vertical="center"/>
    </xf>
    <xf numFmtId="0" fontId="6" fillId="0" borderId="0" xfId="13" applyFont="1" applyFill="1" applyBorder="1" applyAlignment="1">
      <alignment horizontal="center" vertical="center"/>
    </xf>
    <xf numFmtId="0" fontId="6" fillId="0" borderId="0" xfId="13" applyFont="1" applyFill="1" applyBorder="1" applyAlignment="1">
      <alignment horizontal="right" vertical="center"/>
    </xf>
    <xf numFmtId="0" fontId="6" fillId="0" borderId="0" xfId="13" applyFont="1" applyBorder="1" applyAlignment="1">
      <alignment horizontal="center" vertical="center"/>
    </xf>
    <xf numFmtId="0" fontId="6" fillId="0" borderId="4" xfId="13" applyFont="1" applyBorder="1" applyAlignment="1">
      <alignment horizontal="center" vertical="center"/>
    </xf>
    <xf numFmtId="41" fontId="6" fillId="0" borderId="0" xfId="6" applyFont="1" applyBorder="1" applyAlignment="1">
      <alignment vertical="center"/>
    </xf>
    <xf numFmtId="177" fontId="6" fillId="0" borderId="0" xfId="5" applyNumberFormat="1" applyFont="1" applyBorder="1" applyAlignment="1">
      <alignment vertical="center"/>
    </xf>
    <xf numFmtId="41" fontId="6" fillId="3" borderId="4" xfId="13" applyNumberFormat="1" applyFont="1" applyFill="1" applyBorder="1" applyAlignment="1">
      <alignment vertical="center"/>
    </xf>
    <xf numFmtId="183" fontId="0" fillId="0" borderId="0" xfId="0" applyNumberFormat="1"/>
    <xf numFmtId="43" fontId="0" fillId="0" borderId="0" xfId="0" applyNumberFormat="1"/>
    <xf numFmtId="0" fontId="0" fillId="0" borderId="0" xfId="0" applyAlignment="1">
      <alignment vertical="center"/>
    </xf>
    <xf numFmtId="0" fontId="6" fillId="0" borderId="4" xfId="13" applyFont="1" applyBorder="1" applyAlignment="1">
      <alignment horizontal="center" vertical="center" wrapText="1"/>
    </xf>
    <xf numFmtId="181" fontId="0" fillId="0" borderId="0" xfId="0" applyNumberFormat="1"/>
    <xf numFmtId="184" fontId="0" fillId="0" borderId="0" xfId="0" applyNumberFormat="1"/>
    <xf numFmtId="9" fontId="0" fillId="0" borderId="0" xfId="5" applyFont="1"/>
    <xf numFmtId="182" fontId="15" fillId="0" borderId="4" xfId="13" applyNumberFormat="1" applyFont="1" applyFill="1" applyBorder="1" applyAlignment="1">
      <alignment horizontal="center" vertical="center" wrapText="1"/>
    </xf>
    <xf numFmtId="9" fontId="15" fillId="0" borderId="4" xfId="5" applyFont="1" applyFill="1" applyBorder="1" applyAlignment="1">
      <alignment horizontal="center" vertical="center" wrapText="1"/>
    </xf>
    <xf numFmtId="0" fontId="16" fillId="0" borderId="4" xfId="13" applyFont="1" applyFill="1" applyBorder="1" applyAlignment="1">
      <alignment horizontal="center" vertical="center" wrapText="1"/>
    </xf>
    <xf numFmtId="41" fontId="16" fillId="0" borderId="4" xfId="6" applyFont="1" applyFill="1" applyBorder="1" applyAlignment="1">
      <alignment horizontal="center" vertical="center" wrapText="1"/>
    </xf>
    <xf numFmtId="41" fontId="16" fillId="0" borderId="4" xfId="13" applyNumberFormat="1" applyFont="1" applyFill="1" applyBorder="1" applyAlignment="1">
      <alignment horizontal="justify" vertical="center" wrapText="1"/>
    </xf>
    <xf numFmtId="0" fontId="16" fillId="2" borderId="4" xfId="13" applyFont="1" applyFill="1" applyBorder="1" applyAlignment="1">
      <alignment horizontal="center" vertical="center"/>
    </xf>
    <xf numFmtId="0" fontId="15" fillId="0" borderId="0" xfId="13" applyFont="1" applyAlignment="1">
      <alignment horizontal="center" vertical="center"/>
    </xf>
    <xf numFmtId="0" fontId="15" fillId="0" borderId="0" xfId="13" applyFont="1" applyAlignment="1">
      <alignment vertical="center"/>
    </xf>
    <xf numFmtId="0" fontId="16" fillId="0" borderId="4" xfId="13" applyFont="1" applyFill="1" applyBorder="1" applyAlignment="1">
      <alignment horizontal="center" vertical="center"/>
    </xf>
    <xf numFmtId="178" fontId="16" fillId="2" borderId="4" xfId="13" applyNumberFormat="1" applyFont="1" applyFill="1" applyBorder="1" applyAlignment="1">
      <alignment horizontal="center" vertical="center"/>
    </xf>
    <xf numFmtId="0" fontId="15" fillId="0" borderId="0" xfId="13" applyFont="1">
      <alignment vertical="center"/>
    </xf>
    <xf numFmtId="0" fontId="16" fillId="0" borderId="0" xfId="13" applyFont="1" applyBorder="1" applyAlignment="1">
      <alignment vertical="center"/>
    </xf>
    <xf numFmtId="0" fontId="16" fillId="0" borderId="0" xfId="13" applyFont="1" applyBorder="1">
      <alignment vertical="center"/>
    </xf>
    <xf numFmtId="0" fontId="16" fillId="0" borderId="0" xfId="13" applyFont="1" applyFill="1" applyBorder="1" applyAlignment="1">
      <alignment horizontal="center"/>
    </xf>
    <xf numFmtId="0" fontId="16" fillId="3" borderId="4" xfId="1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182" fontId="15" fillId="6" borderId="4" xfId="13" applyNumberFormat="1" applyFont="1" applyFill="1" applyBorder="1" applyAlignment="1">
      <alignment horizontal="center" vertical="center" wrapText="1"/>
    </xf>
    <xf numFmtId="9" fontId="15" fillId="6" borderId="4" xfId="5" applyFont="1" applyFill="1" applyBorder="1" applyAlignment="1">
      <alignment horizontal="center" vertical="center" wrapText="1"/>
    </xf>
    <xf numFmtId="0" fontId="16" fillId="6" borderId="4" xfId="13" applyFont="1" applyFill="1" applyBorder="1" applyAlignment="1">
      <alignment horizontal="center" vertical="center" wrapText="1"/>
    </xf>
    <xf numFmtId="41" fontId="15" fillId="6" borderId="4" xfId="6" applyFont="1" applyFill="1" applyBorder="1" applyAlignment="1">
      <alignment horizontal="center" vertical="center" wrapText="1"/>
    </xf>
    <xf numFmtId="41" fontId="16" fillId="6" borderId="4" xfId="13" applyNumberFormat="1" applyFont="1" applyFill="1" applyBorder="1" applyAlignment="1">
      <alignment horizontal="justify" vertical="center" wrapText="1"/>
    </xf>
    <xf numFmtId="0" fontId="15" fillId="6" borderId="5" xfId="13" applyFont="1" applyFill="1" applyBorder="1" applyAlignment="1">
      <alignment horizontal="center" vertical="center" wrapText="1"/>
    </xf>
    <xf numFmtId="0" fontId="15" fillId="6" borderId="4" xfId="13" applyFont="1" applyFill="1" applyBorder="1" applyAlignment="1">
      <alignment horizontal="center" vertical="center" wrapText="1"/>
    </xf>
    <xf numFmtId="0" fontId="15" fillId="6" borderId="4" xfId="13" applyNumberFormat="1" applyFont="1" applyFill="1" applyBorder="1" applyAlignment="1">
      <alignment horizontal="center" vertical="center" wrapText="1"/>
    </xf>
    <xf numFmtId="179" fontId="15" fillId="6" borderId="2" xfId="12" applyNumberFormat="1" applyFont="1" applyFill="1" applyBorder="1" applyAlignment="1">
      <alignment horizontal="center" vertical="center" wrapText="1"/>
    </xf>
    <xf numFmtId="41" fontId="15" fillId="6" borderId="4" xfId="6" applyFont="1" applyFill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center" wrapText="1"/>
    </xf>
    <xf numFmtId="41" fontId="15" fillId="6" borderId="2" xfId="6" applyFont="1" applyFill="1" applyBorder="1" applyAlignment="1">
      <alignment horizontal="center" vertical="top" wrapText="1"/>
    </xf>
    <xf numFmtId="0" fontId="16" fillId="0" borderId="4" xfId="11" applyFont="1" applyFill="1" applyBorder="1" applyAlignment="1">
      <alignment horizontal="center" vertical="center" wrapText="1"/>
    </xf>
    <xf numFmtId="0" fontId="16" fillId="0" borderId="4" xfId="12" applyFont="1" applyFill="1" applyBorder="1" applyAlignment="1">
      <alignment horizontal="center" vertical="center" wrapText="1"/>
    </xf>
    <xf numFmtId="179" fontId="15" fillId="0" borderId="2" xfId="12" applyNumberFormat="1" applyFont="1" applyFill="1" applyBorder="1" applyAlignment="1">
      <alignment horizontal="center" vertical="center" wrapText="1"/>
    </xf>
    <xf numFmtId="0" fontId="16" fillId="0" borderId="5" xfId="13" applyFont="1" applyBorder="1" applyAlignment="1">
      <alignment vertical="center" wrapText="1"/>
    </xf>
    <xf numFmtId="0" fontId="16" fillId="0" borderId="6" xfId="13" applyFont="1" applyBorder="1" applyAlignment="1">
      <alignment vertical="center" wrapText="1"/>
    </xf>
    <xf numFmtId="0" fontId="16" fillId="0" borderId="7" xfId="13" applyFont="1" applyBorder="1" applyAlignment="1">
      <alignment vertical="center" wrapText="1"/>
    </xf>
    <xf numFmtId="0" fontId="16" fillId="0" borderId="4" xfId="13" applyFont="1" applyBorder="1" applyAlignment="1">
      <alignment horizontal="center" vertical="center" wrapText="1"/>
    </xf>
    <xf numFmtId="0" fontId="16" fillId="0" borderId="0" xfId="13" applyFont="1" applyBorder="1" applyAlignment="1">
      <alignment vertical="center" wrapText="1"/>
    </xf>
    <xf numFmtId="0" fontId="16" fillId="4" borderId="4" xfId="13" applyFont="1" applyFill="1" applyBorder="1" applyAlignment="1">
      <alignment horizontal="center" vertical="center" wrapText="1"/>
    </xf>
    <xf numFmtId="10" fontId="18" fillId="4" borderId="4" xfId="5" applyNumberFormat="1" applyFont="1" applyFill="1" applyBorder="1" applyAlignment="1">
      <alignment horizontal="right" vertical="center" wrapText="1"/>
    </xf>
    <xf numFmtId="43" fontId="16" fillId="0" borderId="0" xfId="13" applyNumberFormat="1" applyFont="1" applyBorder="1" applyAlignment="1">
      <alignment vertical="center" wrapText="1"/>
    </xf>
    <xf numFmtId="180" fontId="16" fillId="0" borderId="4" xfId="6" applyNumberFormat="1" applyFont="1" applyBorder="1" applyAlignment="1">
      <alignment horizontal="right" vertical="center"/>
    </xf>
    <xf numFmtId="0" fontId="16" fillId="5" borderId="4" xfId="13" applyFont="1" applyFill="1" applyBorder="1" applyAlignment="1">
      <alignment horizontal="center" vertical="center" wrapText="1"/>
    </xf>
    <xf numFmtId="10" fontId="18" fillId="5" borderId="4" xfId="5" applyNumberFormat="1" applyFont="1" applyFill="1" applyBorder="1" applyAlignment="1">
      <alignment horizontal="right" vertical="center" wrapText="1"/>
    </xf>
    <xf numFmtId="41" fontId="14" fillId="0" borderId="4" xfId="6" applyFont="1" applyBorder="1" applyAlignment="1">
      <alignment vertical="center"/>
    </xf>
    <xf numFmtId="176" fontId="0" fillId="0" borderId="0" xfId="0" applyNumberFormat="1"/>
    <xf numFmtId="0" fontId="4" fillId="0" borderId="0" xfId="13" applyFont="1" applyFill="1" applyBorder="1" applyAlignment="1">
      <alignment horizontal="center" vertical="center" wrapText="1"/>
    </xf>
    <xf numFmtId="176" fontId="14" fillId="0" borderId="4" xfId="6" applyNumberFormat="1" applyFont="1" applyFill="1" applyBorder="1" applyAlignment="1">
      <alignment vertical="center"/>
    </xf>
    <xf numFmtId="0" fontId="6" fillId="7" borderId="4" xfId="13" applyFont="1" applyFill="1" applyBorder="1" applyAlignment="1">
      <alignment horizontal="center" vertical="center"/>
    </xf>
    <xf numFmtId="0" fontId="7" fillId="0" borderId="0" xfId="13" applyFont="1" applyBorder="1" applyAlignment="1">
      <alignment horizontal="right" vertical="center"/>
    </xf>
    <xf numFmtId="0" fontId="16" fillId="0" borderId="0" xfId="13" applyFont="1" applyFill="1" applyBorder="1" applyAlignment="1">
      <alignment horizontal="right"/>
    </xf>
    <xf numFmtId="0" fontId="16" fillId="2" borderId="4" xfId="13" applyFont="1" applyFill="1" applyBorder="1" applyAlignment="1">
      <alignment horizontal="right" vertical="top" wrapText="1"/>
    </xf>
    <xf numFmtId="181" fontId="17" fillId="0" borderId="4" xfId="13" applyNumberFormat="1" applyFont="1" applyFill="1" applyBorder="1" applyAlignment="1">
      <alignment horizontal="right" vertical="top" wrapText="1"/>
    </xf>
    <xf numFmtId="0" fontId="16" fillId="3" borderId="4" xfId="13" applyFont="1" applyFill="1" applyBorder="1" applyAlignment="1">
      <alignment horizontal="right" vertical="center" wrapText="1"/>
    </xf>
    <xf numFmtId="41" fontId="16" fillId="6" borderId="4" xfId="13" applyNumberFormat="1" applyFont="1" applyFill="1" applyBorder="1" applyAlignment="1">
      <alignment horizontal="right" vertical="center" wrapText="1"/>
    </xf>
    <xf numFmtId="41" fontId="18" fillId="2" borderId="4" xfId="13" applyNumberFormat="1" applyFont="1" applyFill="1" applyBorder="1" applyAlignment="1">
      <alignment horizontal="right" vertical="center" wrapText="1"/>
    </xf>
    <xf numFmtId="41" fontId="16" fillId="0" borderId="4" xfId="13" applyNumberFormat="1" applyFont="1" applyFill="1" applyBorder="1" applyAlignment="1">
      <alignment horizontal="right" vertical="center" wrapText="1"/>
    </xf>
    <xf numFmtId="41" fontId="18" fillId="0" borderId="4" xfId="13" applyNumberFormat="1" applyFont="1" applyFill="1" applyBorder="1" applyAlignment="1">
      <alignment horizontal="right" vertical="center" wrapText="1"/>
    </xf>
    <xf numFmtId="41" fontId="16" fillId="0" borderId="4" xfId="6" applyFont="1" applyBorder="1" applyAlignment="1">
      <alignment horizontal="right" vertical="center"/>
    </xf>
    <xf numFmtId="41" fontId="6" fillId="0" borderId="0" xfId="13" applyNumberFormat="1" applyFont="1" applyFill="1" applyBorder="1" applyAlignment="1">
      <alignment horizontal="right" vertical="center" wrapText="1"/>
    </xf>
    <xf numFmtId="0" fontId="6" fillId="0" borderId="0" xfId="13" applyFont="1" applyBorder="1" applyAlignment="1">
      <alignment horizontal="right" vertical="center"/>
    </xf>
    <xf numFmtId="176" fontId="6" fillId="0" borderId="0" xfId="13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41" fontId="16" fillId="0" borderId="4" xfId="6" applyFont="1" applyFill="1" applyBorder="1" applyAlignment="1">
      <alignment horizontal="right" vertical="center" wrapText="1"/>
    </xf>
    <xf numFmtId="41" fontId="16" fillId="6" borderId="4" xfId="6" applyFont="1" applyFill="1" applyBorder="1" applyAlignment="1">
      <alignment horizontal="right" vertical="center" wrapText="1"/>
    </xf>
    <xf numFmtId="0" fontId="5" fillId="0" borderId="5" xfId="13" applyFont="1" applyBorder="1" applyAlignment="1">
      <alignment horizontal="center" vertical="center" wrapText="1"/>
    </xf>
    <xf numFmtId="0" fontId="16" fillId="2" borderId="4" xfId="13" applyFont="1" applyFill="1" applyBorder="1" applyAlignment="1">
      <alignment horizontal="center" vertical="center" wrapText="1"/>
    </xf>
    <xf numFmtId="0" fontId="7" fillId="0" borderId="0" xfId="13" applyFont="1" applyBorder="1" applyAlignment="1">
      <alignment horizontal="center" vertical="center"/>
    </xf>
    <xf numFmtId="0" fontId="16" fillId="0" borderId="8" xfId="13" applyFont="1" applyFill="1" applyBorder="1" applyAlignment="1">
      <alignment horizontal="center" vertical="center" wrapText="1" shrinkToFit="1"/>
    </xf>
    <xf numFmtId="0" fontId="16" fillId="0" borderId="2" xfId="13" applyFont="1" applyFill="1" applyBorder="1" applyAlignment="1">
      <alignment horizontal="center" vertical="center" shrinkToFit="1"/>
    </xf>
    <xf numFmtId="0" fontId="16" fillId="0" borderId="9" xfId="13" applyFont="1" applyFill="1" applyBorder="1" applyAlignment="1">
      <alignment horizontal="center" vertical="center" shrinkToFit="1"/>
    </xf>
    <xf numFmtId="55" fontId="16" fillId="0" borderId="8" xfId="13" applyNumberFormat="1" applyFont="1" applyFill="1" applyBorder="1" applyAlignment="1">
      <alignment horizontal="center" vertical="center"/>
    </xf>
    <xf numFmtId="55" fontId="16" fillId="0" borderId="2" xfId="13" applyNumberFormat="1" applyFont="1" applyFill="1" applyBorder="1" applyAlignment="1">
      <alignment horizontal="center" vertical="center"/>
    </xf>
    <xf numFmtId="55" fontId="16" fillId="0" borderId="9" xfId="13" applyNumberFormat="1" applyFont="1" applyFill="1" applyBorder="1" applyAlignment="1">
      <alignment horizontal="center" vertical="center"/>
    </xf>
    <xf numFmtId="0" fontId="16" fillId="0" borderId="8" xfId="13" applyFont="1" applyFill="1" applyBorder="1" applyAlignment="1">
      <alignment horizontal="center" vertical="center"/>
    </xf>
    <xf numFmtId="0" fontId="16" fillId="0" borderId="2" xfId="13" applyFont="1" applyFill="1" applyBorder="1" applyAlignment="1">
      <alignment horizontal="center" vertical="center"/>
    </xf>
    <xf numFmtId="0" fontId="16" fillId="0" borderId="9" xfId="13" applyFont="1" applyFill="1" applyBorder="1" applyAlignment="1">
      <alignment horizontal="center" vertical="center"/>
    </xf>
    <xf numFmtId="0" fontId="16" fillId="0" borderId="8" xfId="13" applyFont="1" applyBorder="1" applyAlignment="1">
      <alignment horizontal="right" vertical="center" wrapText="1"/>
    </xf>
    <xf numFmtId="0" fontId="16" fillId="0" borderId="2" xfId="13" applyFont="1" applyBorder="1" applyAlignment="1">
      <alignment horizontal="right" vertical="center" wrapText="1"/>
    </xf>
    <xf numFmtId="0" fontId="16" fillId="0" borderId="4" xfId="13" applyFont="1" applyBorder="1" applyAlignment="1">
      <alignment horizontal="center" vertical="center" wrapText="1"/>
    </xf>
    <xf numFmtId="0" fontId="16" fillId="0" borderId="8" xfId="13" applyFont="1" applyBorder="1" applyAlignment="1">
      <alignment horizontal="center" vertical="top" wrapText="1"/>
    </xf>
    <xf numFmtId="0" fontId="16" fillId="0" borderId="2" xfId="13" applyFont="1" applyBorder="1" applyAlignment="1">
      <alignment horizontal="center" vertical="top" wrapText="1"/>
    </xf>
    <xf numFmtId="0" fontId="16" fillId="0" borderId="6" xfId="13" applyFont="1" applyBorder="1" applyAlignment="1">
      <alignment horizontal="center" vertical="center" wrapText="1"/>
    </xf>
    <xf numFmtId="0" fontId="16" fillId="0" borderId="10" xfId="10" applyFont="1" applyBorder="1" applyAlignment="1">
      <alignment vertical="center"/>
    </xf>
    <xf numFmtId="0" fontId="16" fillId="0" borderId="11" xfId="10" applyFont="1" applyBorder="1" applyAlignment="1">
      <alignment vertical="center"/>
    </xf>
    <xf numFmtId="0" fontId="16" fillId="0" borderId="12" xfId="13" applyFont="1" applyBorder="1" applyAlignment="1">
      <alignment horizontal="center" vertical="center" wrapText="1"/>
    </xf>
    <xf numFmtId="0" fontId="16" fillId="0" borderId="13" xfId="13" applyFont="1" applyBorder="1" applyAlignment="1">
      <alignment horizontal="center" vertical="center" wrapText="1"/>
    </xf>
  </cellXfs>
  <cellStyles count="15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0-Headcount" xfId="4" xr:uid="{00000000-0005-0000-0000-000003000000}"/>
    <cellStyle name="백분율" xfId="5" builtinId="5"/>
    <cellStyle name="쉼표 [0]" xfId="6" builtinId="6"/>
    <cellStyle name="쉼표 [0] 2" xfId="14" xr:uid="{00000000-0005-0000-0000-000006000000}"/>
    <cellStyle name="안건회계법인" xfId="7" xr:uid="{00000000-0005-0000-0000-000007000000}"/>
    <cellStyle name="콤마 [0]_현대0124" xfId="8" xr:uid="{00000000-0005-0000-0000-000008000000}"/>
    <cellStyle name="콤마_현대0124" xfId="9" xr:uid="{00000000-0005-0000-0000-000009000000}"/>
    <cellStyle name="표준" xfId="0" builtinId="0"/>
    <cellStyle name="표준_2010년_손익분석서표준양식" xfId="10" xr:uid="{00000000-0005-0000-0000-00000B000000}"/>
    <cellStyle name="표준_KEDI_비용분석6_손익분석_KEDI2008_20081114_손익분석_KEDI2008_20090210_손익분석_KEDI2008_20090223_손익분석_KEDI2008_20090325" xfId="11" xr:uid="{00000000-0005-0000-0000-00000C000000}"/>
    <cellStyle name="표준_사전_손익분석_KEDI방송고_20070416(J)" xfId="12" xr:uid="{00000000-0005-0000-0000-00000D000000}"/>
    <cellStyle name="표준_손익분석서_한국능률협회(추가2과정)_20070710_v02(1)" xfId="13" xr:uid="{00000000-0005-0000-0000-00000E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view="pageBreakPreview" topLeftCell="B1" zoomScaleNormal="100" zoomScaleSheetLayoutView="100" workbookViewId="0">
      <selection activeCell="N11" sqref="N11"/>
    </sheetView>
  </sheetViews>
  <sheetFormatPr defaultRowHeight="13.5"/>
  <cols>
    <col min="1" max="1" width="3.5546875" customWidth="1"/>
    <col min="2" max="2" width="19.33203125" customWidth="1"/>
    <col min="3" max="3" width="21.109375" customWidth="1"/>
    <col min="4" max="5" width="12.33203125" bestFit="1" customWidth="1"/>
    <col min="6" max="6" width="4.6640625" bestFit="1" customWidth="1"/>
    <col min="7" max="7" width="4" bestFit="1" customWidth="1"/>
    <col min="8" max="8" width="10" customWidth="1"/>
    <col min="9" max="9" width="14.44140625" style="88" customWidth="1"/>
    <col min="10" max="10" width="16.44140625" customWidth="1"/>
    <col min="11" max="11" width="16.6640625" bestFit="1" customWidth="1"/>
  </cols>
  <sheetData>
    <row r="1" spans="1:10" ht="24" customHeight="1">
      <c r="A1" s="93" t="s">
        <v>44</v>
      </c>
      <c r="B1" s="93"/>
      <c r="C1" s="93"/>
      <c r="D1" s="93"/>
      <c r="E1" s="93"/>
      <c r="F1" s="93"/>
      <c r="G1" s="93"/>
      <c r="H1" s="93"/>
      <c r="I1" s="93"/>
    </row>
    <row r="2" spans="1:10" ht="14.25">
      <c r="A2" s="1"/>
      <c r="B2" s="1"/>
      <c r="C2" s="1"/>
      <c r="D2" s="1"/>
      <c r="E2" s="1"/>
      <c r="F2" s="1"/>
      <c r="G2" s="1"/>
      <c r="H2" s="1"/>
      <c r="I2" s="75"/>
    </row>
    <row r="3" spans="1:10" s="23" customFormat="1" ht="14.25" customHeight="1">
      <c r="A3" s="33" t="s">
        <v>3</v>
      </c>
      <c r="B3" s="34"/>
      <c r="C3" s="35"/>
      <c r="D3" s="35"/>
      <c r="E3" s="36" t="s">
        <v>4</v>
      </c>
      <c r="F3" s="94" t="s">
        <v>45</v>
      </c>
      <c r="G3" s="95"/>
      <c r="H3" s="95"/>
      <c r="I3" s="96"/>
    </row>
    <row r="4" spans="1:10" s="23" customFormat="1" ht="14.25" customHeight="1">
      <c r="A4" s="37">
        <v>1</v>
      </c>
      <c r="B4" s="34"/>
      <c r="C4" s="35"/>
      <c r="D4" s="35"/>
      <c r="E4" s="36" t="s">
        <v>5</v>
      </c>
      <c r="F4" s="97"/>
      <c r="G4" s="98"/>
      <c r="H4" s="98"/>
      <c r="I4" s="99"/>
    </row>
    <row r="5" spans="1:10" s="23" customFormat="1" ht="14.25" customHeight="1">
      <c r="A5" s="35"/>
      <c r="B5" s="35"/>
      <c r="C5" s="35"/>
      <c r="D5" s="35"/>
      <c r="E5" s="36" t="s">
        <v>6</v>
      </c>
      <c r="F5" s="100" t="s">
        <v>38</v>
      </c>
      <c r="G5" s="101"/>
      <c r="H5" s="101"/>
      <c r="I5" s="102"/>
    </row>
    <row r="6" spans="1:10" ht="15">
      <c r="A6" s="38"/>
      <c r="B6" s="38"/>
      <c r="C6" s="39"/>
      <c r="D6" s="40"/>
      <c r="E6" s="40"/>
      <c r="F6" s="41"/>
      <c r="G6" s="41"/>
      <c r="H6" s="41"/>
      <c r="I6" s="76"/>
    </row>
    <row r="7" spans="1:10" ht="16.5" customHeight="1">
      <c r="A7" s="92" t="s">
        <v>14</v>
      </c>
      <c r="B7" s="92"/>
      <c r="C7" s="92"/>
      <c r="D7" s="92" t="s">
        <v>15</v>
      </c>
      <c r="E7" s="92"/>
      <c r="F7" s="92"/>
      <c r="G7" s="92"/>
      <c r="H7" s="92"/>
      <c r="I7" s="77" t="s">
        <v>32</v>
      </c>
    </row>
    <row r="8" spans="1:10" ht="16.5" customHeight="1">
      <c r="A8" s="105" t="s">
        <v>0</v>
      </c>
      <c r="B8" s="105"/>
      <c r="C8" s="105"/>
      <c r="D8" s="106"/>
      <c r="E8" s="107"/>
      <c r="F8" s="107"/>
      <c r="G8" s="107"/>
      <c r="H8" s="107"/>
      <c r="I8" s="78">
        <v>7000000</v>
      </c>
      <c r="J8" s="21"/>
    </row>
    <row r="9" spans="1:10" ht="15.75" customHeight="1">
      <c r="A9" s="108" t="s">
        <v>16</v>
      </c>
      <c r="B9" s="42" t="s">
        <v>7</v>
      </c>
      <c r="C9" s="42" t="s">
        <v>8</v>
      </c>
      <c r="D9" s="42" t="s">
        <v>9</v>
      </c>
      <c r="E9" s="42" t="s">
        <v>10</v>
      </c>
      <c r="F9" s="42" t="s">
        <v>1</v>
      </c>
      <c r="G9" s="42" t="s">
        <v>17</v>
      </c>
      <c r="H9" s="42" t="s">
        <v>11</v>
      </c>
      <c r="I9" s="79" t="s">
        <v>13</v>
      </c>
    </row>
    <row r="10" spans="1:10" ht="15.75" customHeight="1">
      <c r="A10" s="109"/>
      <c r="B10" s="91" t="s">
        <v>41</v>
      </c>
      <c r="C10" s="43" t="s">
        <v>38</v>
      </c>
      <c r="D10" s="28"/>
      <c r="E10" s="28"/>
      <c r="F10" s="29"/>
      <c r="G10" s="30" t="s">
        <v>33</v>
      </c>
      <c r="H10" s="31">
        <f>E32</f>
        <v>8850000</v>
      </c>
      <c r="I10" s="89">
        <f>(E10-D10)/30*F10*H10+1</f>
        <v>1</v>
      </c>
    </row>
    <row r="11" spans="1:10" ht="15.75" customHeight="1">
      <c r="A11" s="109"/>
      <c r="B11" s="43" t="s">
        <v>40</v>
      </c>
      <c r="C11" s="43" t="s">
        <v>39</v>
      </c>
      <c r="D11" s="28"/>
      <c r="E11" s="28"/>
      <c r="F11" s="29"/>
      <c r="G11" s="30" t="s">
        <v>33</v>
      </c>
      <c r="H11" s="31">
        <f>E33</f>
        <v>8850000</v>
      </c>
      <c r="I11" s="89">
        <f>(E11-D11)/30*F11*H11+1</f>
        <v>1</v>
      </c>
    </row>
    <row r="12" spans="1:10" ht="15.75" customHeight="1">
      <c r="A12" s="109"/>
      <c r="B12" s="43"/>
      <c r="C12" s="43"/>
      <c r="D12" s="44"/>
      <c r="E12" s="44"/>
      <c r="F12" s="45"/>
      <c r="G12" s="46"/>
      <c r="H12" s="47"/>
      <c r="I12" s="90"/>
      <c r="J12" s="27"/>
    </row>
    <row r="13" spans="1:10" ht="15.75" customHeight="1">
      <c r="A13" s="109"/>
      <c r="B13" s="43"/>
      <c r="C13" s="43"/>
      <c r="D13" s="44"/>
      <c r="E13" s="44"/>
      <c r="F13" s="45"/>
      <c r="G13" s="46"/>
      <c r="H13" s="47"/>
      <c r="I13" s="90"/>
    </row>
    <row r="14" spans="1:10" ht="15.75" customHeight="1">
      <c r="A14" s="109"/>
      <c r="B14" s="43"/>
      <c r="C14" s="43"/>
      <c r="D14" s="44"/>
      <c r="E14" s="44"/>
      <c r="F14" s="45"/>
      <c r="G14" s="46"/>
      <c r="H14" s="47"/>
      <c r="I14" s="90"/>
    </row>
    <row r="15" spans="1:10" ht="15.75" customHeight="1">
      <c r="A15" s="110"/>
      <c r="B15" s="103" t="s">
        <v>18</v>
      </c>
      <c r="C15" s="104"/>
      <c r="D15" s="104"/>
      <c r="E15" s="104"/>
      <c r="F15" s="104"/>
      <c r="G15" s="104"/>
      <c r="H15" s="104"/>
      <c r="I15" s="81">
        <f>SUM(I10:I14)</f>
        <v>2</v>
      </c>
    </row>
    <row r="16" spans="1:10" ht="15.75" customHeight="1">
      <c r="A16" s="111" t="s">
        <v>19</v>
      </c>
      <c r="B16" s="42" t="s">
        <v>2</v>
      </c>
      <c r="C16" s="42" t="s">
        <v>25</v>
      </c>
      <c r="D16" s="42" t="s">
        <v>36</v>
      </c>
      <c r="E16" s="42" t="s">
        <v>34</v>
      </c>
      <c r="F16" s="42" t="s">
        <v>12</v>
      </c>
      <c r="G16" s="42" t="s">
        <v>17</v>
      </c>
      <c r="H16" s="42" t="s">
        <v>26</v>
      </c>
      <c r="I16" s="79" t="s">
        <v>13</v>
      </c>
    </row>
    <row r="17" spans="1:11">
      <c r="A17" s="112"/>
      <c r="B17" s="49" t="s">
        <v>42</v>
      </c>
      <c r="C17" s="50" t="s">
        <v>43</v>
      </c>
      <c r="D17" s="48">
        <v>45000</v>
      </c>
      <c r="E17" s="50">
        <v>0</v>
      </c>
      <c r="F17" s="45"/>
      <c r="G17" s="45" t="s">
        <v>33</v>
      </c>
      <c r="H17" s="52"/>
      <c r="I17" s="80">
        <f>(D17*E17)</f>
        <v>0</v>
      </c>
      <c r="J17" s="71"/>
      <c r="K17" s="71"/>
    </row>
    <row r="18" spans="1:11">
      <c r="A18" s="112"/>
      <c r="B18" s="49"/>
      <c r="C18" s="50"/>
      <c r="D18" s="48"/>
      <c r="E18" s="51"/>
      <c r="F18" s="45"/>
      <c r="G18" s="45"/>
      <c r="H18" s="52"/>
      <c r="I18" s="80">
        <f>(D18*E18)</f>
        <v>0</v>
      </c>
      <c r="J18" s="22"/>
      <c r="K18" s="22"/>
    </row>
    <row r="19" spans="1:11">
      <c r="A19" s="112"/>
      <c r="B19" s="49"/>
      <c r="C19" s="50"/>
      <c r="D19" s="48"/>
      <c r="E19" s="51"/>
      <c r="F19" s="45"/>
      <c r="G19" s="46"/>
      <c r="H19" s="52"/>
      <c r="I19" s="80"/>
      <c r="J19" s="22"/>
    </row>
    <row r="20" spans="1:11">
      <c r="A20" s="112"/>
      <c r="B20" s="43"/>
      <c r="C20" s="50"/>
      <c r="D20" s="48"/>
      <c r="E20" s="51"/>
      <c r="F20" s="45"/>
      <c r="G20" s="53"/>
      <c r="H20" s="53"/>
      <c r="I20" s="80"/>
      <c r="J20" s="22"/>
    </row>
    <row r="21" spans="1:11">
      <c r="A21" s="112"/>
      <c r="B21" s="43"/>
      <c r="C21" s="50"/>
      <c r="D21" s="48"/>
      <c r="E21" s="51"/>
      <c r="F21" s="45"/>
      <c r="G21" s="53"/>
      <c r="H21" s="53"/>
      <c r="I21" s="80"/>
      <c r="J21" s="25"/>
      <c r="K21" s="26"/>
    </row>
    <row r="22" spans="1:11">
      <c r="A22" s="112"/>
      <c r="B22" s="54"/>
      <c r="C22" s="50"/>
      <c r="D22" s="48"/>
      <c r="E22" s="51"/>
      <c r="F22" s="45"/>
      <c r="G22" s="53"/>
      <c r="H22" s="55"/>
      <c r="I22" s="80"/>
      <c r="J22" s="22"/>
      <c r="K22" s="26"/>
    </row>
    <row r="23" spans="1:11" ht="15.75" customHeight="1">
      <c r="A23" s="112"/>
      <c r="B23" s="56"/>
      <c r="C23" s="56"/>
      <c r="D23" s="32"/>
      <c r="E23" s="57"/>
      <c r="F23" s="31"/>
      <c r="G23" s="30"/>
      <c r="H23" s="58"/>
      <c r="I23" s="82"/>
      <c r="J23" s="22"/>
    </row>
    <row r="24" spans="1:11" ht="15.75" customHeight="1">
      <c r="A24" s="59"/>
      <c r="B24" s="103" t="s">
        <v>20</v>
      </c>
      <c r="C24" s="104"/>
      <c r="D24" s="104"/>
      <c r="E24" s="104"/>
      <c r="F24" s="104"/>
      <c r="G24" s="104"/>
      <c r="H24" s="104"/>
      <c r="I24" s="83">
        <f>SUM(I17:I23)</f>
        <v>0</v>
      </c>
    </row>
    <row r="25" spans="1:11" ht="15.75" customHeight="1">
      <c r="A25" s="60"/>
      <c r="B25" s="61"/>
      <c r="C25" s="61"/>
      <c r="D25" s="61"/>
      <c r="E25" s="61"/>
      <c r="F25" s="61"/>
      <c r="G25" s="61"/>
      <c r="H25" s="62" t="s">
        <v>21</v>
      </c>
      <c r="I25" s="84">
        <f>SUM(I15,I24)</f>
        <v>2</v>
      </c>
    </row>
    <row r="26" spans="1:11" ht="15.75" customHeight="1">
      <c r="A26" s="63"/>
      <c r="B26" s="63"/>
      <c r="C26" s="63"/>
      <c r="D26" s="63"/>
      <c r="E26" s="63"/>
      <c r="F26" s="63"/>
      <c r="G26" s="63"/>
      <c r="H26" s="64" t="s">
        <v>22</v>
      </c>
      <c r="I26" s="65">
        <f>I24/I8</f>
        <v>0</v>
      </c>
    </row>
    <row r="27" spans="1:11" ht="15.75" customHeight="1">
      <c r="A27" s="63"/>
      <c r="B27" s="63"/>
      <c r="C27" s="63"/>
      <c r="D27" s="66"/>
      <c r="E27" s="63"/>
      <c r="F27" s="63"/>
      <c r="G27" s="63"/>
      <c r="H27" s="62" t="s">
        <v>23</v>
      </c>
      <c r="I27" s="67">
        <f>I8-I25</f>
        <v>6999998</v>
      </c>
    </row>
    <row r="28" spans="1:11" ht="15.75" customHeight="1">
      <c r="A28" s="63"/>
      <c r="B28" s="63"/>
      <c r="C28" s="63"/>
      <c r="D28" s="63"/>
      <c r="E28" s="63"/>
      <c r="F28" s="63"/>
      <c r="G28" s="63"/>
      <c r="H28" s="68" t="s">
        <v>24</v>
      </c>
      <c r="I28" s="69">
        <f>I27/I8</f>
        <v>0.99999971428571433</v>
      </c>
      <c r="J28" s="22"/>
    </row>
    <row r="29" spans="1:11">
      <c r="A29" s="3"/>
      <c r="B29" s="3"/>
      <c r="C29" s="3"/>
      <c r="D29" s="3"/>
      <c r="E29" s="3"/>
      <c r="F29" s="3"/>
      <c r="G29" s="3"/>
      <c r="H29" s="4"/>
      <c r="I29" s="5"/>
      <c r="J29" s="22"/>
    </row>
    <row r="30" spans="1:11">
      <c r="A30" s="6"/>
      <c r="B30" s="7"/>
      <c r="C30" s="72"/>
      <c r="D30" s="8"/>
      <c r="E30" s="8"/>
      <c r="F30" s="9"/>
      <c r="G30" s="10"/>
      <c r="H30" s="11"/>
      <c r="I30" s="85"/>
      <c r="J30" s="22"/>
    </row>
    <row r="31" spans="1:11" ht="15.75" customHeight="1">
      <c r="A31" s="12"/>
      <c r="B31" s="13" t="s">
        <v>27</v>
      </c>
      <c r="C31" s="13" t="s">
        <v>28</v>
      </c>
      <c r="D31" s="13" t="s">
        <v>29</v>
      </c>
      <c r="E31" s="74" t="s">
        <v>37</v>
      </c>
      <c r="F31" s="14"/>
      <c r="G31" s="15"/>
      <c r="H31" s="16"/>
      <c r="I31" s="86"/>
      <c r="J31" s="22"/>
    </row>
    <row r="32" spans="1:11" ht="15.75" customHeight="1">
      <c r="A32" s="12"/>
      <c r="B32" s="24" t="s">
        <v>35</v>
      </c>
      <c r="C32" s="17" t="s">
        <v>33</v>
      </c>
      <c r="D32" s="70">
        <f>SUMIF(G10:G23,"SS",I10:I23)</f>
        <v>2</v>
      </c>
      <c r="E32" s="73">
        <v>8850000</v>
      </c>
      <c r="F32" s="19"/>
      <c r="G32" s="18"/>
      <c r="H32" s="2"/>
      <c r="I32" s="86"/>
      <c r="J32" s="22"/>
    </row>
    <row r="33" spans="1:9" ht="15.75" customHeight="1">
      <c r="A33" s="12"/>
      <c r="B33" s="13" t="s">
        <v>30</v>
      </c>
      <c r="C33" s="13" t="s">
        <v>31</v>
      </c>
      <c r="D33" s="20">
        <f>SUM(D32:D32)</f>
        <v>2</v>
      </c>
      <c r="E33" s="20">
        <f>SUM(E32:E32)</f>
        <v>8850000</v>
      </c>
      <c r="F33" s="12"/>
      <c r="G33" s="12"/>
      <c r="H33" s="2"/>
      <c r="I33" s="86"/>
    </row>
    <row r="34" spans="1:9">
      <c r="A34" s="12"/>
      <c r="B34" s="12"/>
      <c r="C34" s="2"/>
      <c r="D34" s="18"/>
      <c r="E34" s="19"/>
      <c r="F34" s="2"/>
      <c r="G34" s="2"/>
      <c r="H34" s="2"/>
      <c r="I34" s="87"/>
    </row>
  </sheetData>
  <mergeCells count="12">
    <mergeCell ref="B24:H24"/>
    <mergeCell ref="A8:C8"/>
    <mergeCell ref="D8:H8"/>
    <mergeCell ref="A9:A15"/>
    <mergeCell ref="B15:H15"/>
    <mergeCell ref="A16:A23"/>
    <mergeCell ref="A7:C7"/>
    <mergeCell ref="D7:H7"/>
    <mergeCell ref="A1:I1"/>
    <mergeCell ref="F3:I3"/>
    <mergeCell ref="F4:I4"/>
    <mergeCell ref="F5:I5"/>
  </mergeCells>
  <phoneticPr fontId="2" type="noConversion"/>
  <pageMargins left="0.46" right="0.56000000000000005" top="0.75" bottom="0.75" header="0.3" footer="0.3"/>
  <pageSetup paperSize="9" scale="77" orientation="portrait" r:id="rId1"/>
  <colBreaks count="1" manualBreakCount="1">
    <brk id="9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손익분석서_V1.0</vt:lpstr>
      <vt:lpstr>손익분석서_V1.0!Print_Area</vt:lpstr>
    </vt:vector>
  </TitlesOfParts>
  <Company>DUnet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Kim,Pyunggook</dc:creator>
  <cp:lastModifiedBy>이상현</cp:lastModifiedBy>
  <cp:lastPrinted>2023-04-27T00:51:54Z</cp:lastPrinted>
  <dcterms:created xsi:type="dcterms:W3CDTF">2001-09-11T01:17:50Z</dcterms:created>
  <dcterms:modified xsi:type="dcterms:W3CDTF">2026-04-23T08:01:34Z</dcterms:modified>
</cp:coreProperties>
</file>